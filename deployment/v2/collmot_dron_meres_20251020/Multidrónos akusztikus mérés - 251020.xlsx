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rojektek\2025_ViTeMoR\251020_Multidrón-teszt\"/>
    </mc:Choice>
  </mc:AlternateContent>
  <xr:revisionPtr revIDLastSave="0" documentId="13_ncr:1_{689FD97C-98F6-4163-89FE-C1B755FBACA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rv" sheetId="1" r:id="rId1"/>
    <sheet name="Megvalósul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<sst xmlns="http://schemas.openxmlformats.org/spreadsheetml/2006/main" count="250" uniqueCount="114">
  <si>
    <t>#</t>
  </si>
  <si>
    <t>Drónok</t>
  </si>
  <si>
    <t>Alakzat</t>
  </si>
  <si>
    <t>Korrdináták/Paraméterek</t>
  </si>
  <si>
    <t>Sebesség</t>
  </si>
  <si>
    <t>Nettó idő</t>
  </si>
  <si>
    <t>Show file</t>
  </si>
  <si>
    <t>[db]</t>
  </si>
  <si>
    <t>[m,m,m]</t>
  </si>
  <si>
    <t>[m/s]</t>
  </si>
  <si>
    <t>[s]</t>
  </si>
  <si>
    <t>Mérés tartomány sarkainak bejárása</t>
  </si>
  <si>
    <t xml:space="preserve">show_1
</t>
  </si>
  <si>
    <t>#1 (0-4) flight time: 08:26 minutes</t>
  </si>
  <si>
    <t>10m lebegés 1perc</t>
  </si>
  <si>
    <t>(0,0,10)</t>
  </si>
  <si>
    <t>20m lebegés 1perc</t>
  </si>
  <si>
    <t>(0,0,20)</t>
  </si>
  <si>
    <t>30m lebegés 1perc</t>
  </si>
  <si>
    <t>(0,0,30)</t>
  </si>
  <si>
    <t>40m lebegés 1perc</t>
  </si>
  <si>
    <t>(0,0,40)</t>
  </si>
  <si>
    <t>20m magasságban CCW helyben fordulás 1 percig</t>
  </si>
  <si>
    <t>(0,0,20) CCW</t>
  </si>
  <si>
    <t>show_2</t>
  </si>
  <si>
    <t>#2 (5-11) flight time: 09:42 minutes</t>
  </si>
  <si>
    <t>20m magasságban CW helyben fordulás 1 percig</t>
  </si>
  <si>
    <t>(0,0,20) CW</t>
  </si>
  <si>
    <t>20m magasságban előre hátra</t>
  </si>
  <si>
    <t>(-60,0,20) ↔ (60,0,20)</t>
  </si>
  <si>
    <t>Négyzetátló: 20m magasságban bal alsó sarok jobb felső 2x</t>
  </si>
  <si>
    <t>(-60,-60,20) ↔ (60,60,20) x2</t>
  </si>
  <si>
    <t>hagyjuk el, túl sok időt és kevés plusz infó</t>
  </si>
  <si>
    <t>Négyzetátló:20m magasságban bal alsó sarok jobb felső 2x</t>
  </si>
  <si>
    <t>show_3 merged into show_2</t>
  </si>
  <si>
    <t>Négyzetátló:60m magasságban bal alsó sarok jobb felső 2x</t>
  </si>
  <si>
    <t>(-60,-60,60) ↔ (60,60,60) x2</t>
  </si>
  <si>
    <t>show_4</t>
  </si>
  <si>
    <t>#4 (12) flight time: 07:56 minutes</t>
  </si>
  <si>
    <t>show_5</t>
  </si>
  <si>
    <t>#5 (13-14) flight time: 06:49 minutes</t>
  </si>
  <si>
    <t>Négyzetátló:120m magasságban bal alsó sarok jobb felső 2x</t>
  </si>
  <si>
    <t>(-60,-60,120) ↔ (60,60,120) x2</t>
  </si>
  <si>
    <t>show_6</t>
  </si>
  <si>
    <t>#6 (15) flight time: 09:26 minutes</t>
  </si>
  <si>
    <t>show_7</t>
  </si>
  <si>
    <t>#7 (16-17) flight time: 08:19 minutes</t>
  </si>
  <si>
    <t>5m sugarú kör 20méteren 2x</t>
  </si>
  <si>
    <t>(-2,5,0,20) ○ x2</t>
  </si>
  <si>
    <t>show_8</t>
  </si>
  <si>
    <t>#8 (18-21) flight time: 09:38 minutes</t>
  </si>
  <si>
    <t>30m sugarú kör 20méteren 2x</t>
  </si>
  <si>
    <t>(-15,0,20) ○ x2</t>
  </si>
  <si>
    <t>60m sugarú kör 20méteren 2x</t>
  </si>
  <si>
    <t>(-30,0,20) ○ x2</t>
  </si>
  <si>
    <t>Végtelen alakzat repülés 20m 2x</t>
  </si>
  <si>
    <t>Fektetett 8-as alakzat repülés 20m x2</t>
  </si>
  <si>
    <t>átmérője kb. 120m lett, mint a nagy kör: ok</t>
  </si>
  <si>
    <t>Kockaátlós repülés</t>
  </si>
  <si>
    <t>(-60,-60,0) ↔ ( 60,60,120)</t>
  </si>
  <si>
    <t>show_9</t>
  </si>
  <si>
    <t>#9 (22-25-23-24) flight time: 06:47 minutes</t>
  </si>
  <si>
    <t>sebesség 3-&gt;4 átvezetve</t>
  </si>
  <si>
    <t>(-60,60,0) ↔ ( 60,-60,120)</t>
  </si>
  <si>
    <t>csak (55, 55, 5)-ről tudok indulni, nem 0 magasságról... persze, tökéletes</t>
  </si>
  <si>
    <t>(60,-60,0) ↔ ( -60,60,120)</t>
  </si>
  <si>
    <t>(60,60,0) (-60,-60,120)</t>
  </si>
  <si>
    <t>Max távolságból berepülés a középpontba</t>
  </si>
  <si>
    <t>max távolság repülés</t>
  </si>
  <si>
    <t>show_10?</t>
  </si>
  <si>
    <t>mi a max távolság? Amennyit a hely enged, az RC kapcsolat is stabil, és belefér a 8 perc repülésbe. A detektálás hatótávolságát szeretnénk tesztelni - ezt majd ott helyben megoldjuk az aktuális körülmények között</t>
  </si>
  <si>
    <t>5m sugarú kör 20méteren, drónok egyenletesen elosztva a kerület mentén</t>
  </si>
  <si>
    <t>(-2,5,0,20) ○</t>
  </si>
  <si>
    <t>show_11</t>
  </si>
  <si>
    <t>#11 (27-29) flight time: 06:14 minutes</t>
  </si>
  <si>
    <t>30m sugarú kör 20méteren, drónok egyenletesen elosztva a kerület mentén</t>
  </si>
  <si>
    <t>60m sugarú kör 20méteren, drónok egyenletesen elosztva a kerület mentén</t>
  </si>
  <si>
    <t>show_12</t>
  </si>
  <si>
    <t>#12 (30-32) flight time: 06:14 minutes</t>
  </si>
  <si>
    <t>show_13</t>
  </si>
  <si>
    <t>#13 (33-35) flight time: 06:14 minutes</t>
  </si>
  <si>
    <t>show_14</t>
  </si>
  <si>
    <t>#14 (36-38) flight time: 06:14 minutes</t>
  </si>
  <si>
    <t>V-alakú rajrepülés egymástól biztonságos távolságban, középvonal mentén</t>
  </si>
  <si>
    <t>show 15?</t>
  </si>
  <si>
    <t>#15 (39-40) flight time: 03:27 minutes</t>
  </si>
  <si>
    <t>Fligh time</t>
  </si>
  <si>
    <t>Időtartam</t>
  </si>
  <si>
    <t>Megjegyzés</t>
  </si>
  <si>
    <t>~13:37-13:45</t>
  </si>
  <si>
    <t>MEMS mikrofon nincsd rögzítve</t>
  </si>
  <si>
    <t>13:44-től 60 dB gain</t>
  </si>
  <si>
    <t>~13:53-14:03</t>
  </si>
  <si>
    <t>nem volt helyben forgás, MEMS mikrofon nincsd rögzítve</t>
  </si>
  <si>
    <t>nem volt helyben forgás</t>
  </si>
  <si>
    <t>14:08-14:15</t>
  </si>
  <si>
    <t>MEMS mikrofon innentől rögzítve (14:06)</t>
  </si>
  <si>
    <t>~14:24-14:32</t>
  </si>
  <si>
    <t>~14:41-14:51</t>
  </si>
  <si>
    <t>~15:02-15:09</t>
  </si>
  <si>
    <t>volt itt valami eltérés: nem mindig indult 5 m-ről?</t>
  </si>
  <si>
    <t>15:13-15:19</t>
  </si>
  <si>
    <t>15:27:15:33</t>
  </si>
  <si>
    <t>5 m-es sugarú kör túl szűk, 10 m-re módosítva vagy itt vagy a következőtől</t>
  </si>
  <si>
    <t>15:42-15:49</t>
  </si>
  <si>
    <t>~15:57-16:03</t>
  </si>
  <si>
    <t>show 15</t>
  </si>
  <si>
    <t>nem volt mindig V alak</t>
  </si>
  <si>
    <t>manual</t>
  </si>
  <si>
    <t>Először 300 m az origótól észak-nyugat irányban , majd 300 m az origótól dél-kelet iráényban, mindkét irányban kb. 200 m-ig hallatszódott az egyik BK-6_E-vel</t>
  </si>
  <si>
    <t>Mikrofon helymeghatározás "drónnal"</t>
  </si>
  <si>
    <t>~16:25</t>
  </si>
  <si>
    <r>
      <rPr>
        <b/>
        <sz val="8"/>
        <color rgb="FF000000"/>
        <rFont val="Arial"/>
        <family val="2"/>
        <charset val="238"/>
        <scheme val="major"/>
      </rPr>
      <t>10 m</t>
    </r>
    <r>
      <rPr>
        <sz val="8"/>
        <color rgb="FF000000"/>
        <rFont val="Arial"/>
        <family val="2"/>
        <charset val="238"/>
        <scheme val="major"/>
      </rPr>
      <t xml:space="preserve"> sugarú kör 20méteren, drónok egyenletesen elosztva a kerület mentén</t>
    </r>
  </si>
  <si>
    <r>
      <rPr>
        <b/>
        <sz val="8"/>
        <color rgb="FF000000"/>
        <rFont val="Arial"/>
        <family val="2"/>
        <charset val="238"/>
        <scheme val="major"/>
      </rPr>
      <t>10m</t>
    </r>
    <r>
      <rPr>
        <sz val="8"/>
        <color rgb="FF000000"/>
        <rFont val="Arial"/>
        <family val="2"/>
        <charset val="238"/>
        <scheme val="major"/>
      </rPr>
      <t xml:space="preserve"> sugarú kör 20méteren, drónok egyenletesen elosztva a kerület mentén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</si>
</sst>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rgb="FF000000"/>
      <name val="&quot;Aptos Narrow&quot;"/>
    </font>
    <font>
      <b/>
      <sz val="11"/>
      <color rgb="FFFF0000"/>
      <name val="&quot;Aptos Narrow&quot;"/>
    </font>
    <font>
      <sz val="10"/>
      <color rgb="FF000000"/>
      <name val="&quot;Aptos Narrow&quot;"/>
    </font>
    <font>
      <sz val="11"/>
      <color rgb="FF000000"/>
      <name val="&quot;Aptos Narrow&quot;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</font>
    <font>
      <b/>
      <strike/>
      <sz val="11"/>
      <color rgb="FFFF0000"/>
      <name val="&quot;Aptos Narrow&quot;"/>
    </font>
    <font>
      <strike/>
      <sz val="10"/>
      <color rgb="FF000000"/>
      <name val="&quot;Aptos Narrow&quot;"/>
    </font>
    <font>
      <strike/>
      <sz val="11"/>
      <color rgb="FF000000"/>
      <name val="&quot;Aptos Narrow&quot;"/>
    </font>
    <font>
      <strike/>
      <sz val="10"/>
      <color theme="1"/>
      <name val="Arial"/>
      <scheme val="minor"/>
    </font>
    <font>
      <sz val="11"/>
      <color rgb="FF000000"/>
      <name val="Arial"/>
    </font>
    <font>
      <b/>
      <sz val="11"/>
      <color rgb="FFFF0000"/>
      <name val="Arial"/>
    </font>
    <font>
      <b/>
      <sz val="8"/>
      <color rgb="FF000000"/>
      <name val="Arial"/>
      <family val="2"/>
      <charset val="238"/>
      <scheme val="major"/>
    </font>
    <font>
      <b/>
      <sz val="8"/>
      <color theme="1"/>
      <name val="Arial"/>
      <family val="2"/>
      <charset val="238"/>
      <scheme val="major"/>
    </font>
    <font>
      <sz val="8"/>
      <color rgb="FF000000"/>
      <name val="Arial"/>
      <family val="2"/>
      <charset val="238"/>
      <scheme val="major"/>
    </font>
    <font>
      <b/>
      <sz val="8"/>
      <color rgb="FFFF0000"/>
      <name val="Arial"/>
      <family val="2"/>
      <charset val="238"/>
      <scheme val="major"/>
    </font>
    <font>
      <sz val="8"/>
      <color theme="1"/>
      <name val="Arial"/>
      <family val="2"/>
      <charset val="238"/>
      <scheme val="major"/>
    </font>
    <font>
      <sz val="8"/>
      <name val="Arial"/>
      <family val="2"/>
      <charset val="238"/>
      <scheme val="major"/>
    </font>
  </fonts>
  <fills count="8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right" vertical="top"/>
    </xf>
    <xf numFmtId="0" fontId="4" fillId="0" borderId="6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6" xfId="0" applyFont="1" applyBorder="1" applyAlignment="1">
      <alignment horizontal="right" vertical="top"/>
    </xf>
    <xf numFmtId="0" fontId="6" fillId="0" borderId="0" xfId="0" applyFont="1"/>
    <xf numFmtId="0" fontId="3" fillId="0" borderId="8" xfId="0" applyFont="1" applyBorder="1" applyAlignment="1">
      <alignment horizontal="right" vertical="top"/>
    </xf>
    <xf numFmtId="0" fontId="4" fillId="0" borderId="8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horizontal="right" vertical="top"/>
    </xf>
    <xf numFmtId="0" fontId="8" fillId="0" borderId="8" xfId="0" applyFont="1" applyBorder="1" applyAlignment="1">
      <alignment vertical="top"/>
    </xf>
    <xf numFmtId="0" fontId="9" fillId="4" borderId="8" xfId="0" applyFont="1" applyFill="1" applyBorder="1" applyAlignment="1">
      <alignment horizontal="right" vertical="top"/>
    </xf>
    <xf numFmtId="0" fontId="10" fillId="4" borderId="8" xfId="0" applyFont="1" applyFill="1" applyBorder="1" applyAlignment="1">
      <alignment vertical="top"/>
    </xf>
    <xf numFmtId="0" fontId="11" fillId="4" borderId="8" xfId="0" applyFont="1" applyFill="1" applyBorder="1" applyAlignment="1">
      <alignment horizontal="right" vertical="top"/>
    </xf>
    <xf numFmtId="0" fontId="6" fillId="4" borderId="0" xfId="0" applyFont="1" applyFill="1"/>
    <xf numFmtId="0" fontId="12" fillId="4" borderId="0" xfId="0" applyFont="1" applyFill="1"/>
    <xf numFmtId="0" fontId="12" fillId="4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right" vertical="top"/>
    </xf>
    <xf numFmtId="0" fontId="6" fillId="5" borderId="8" xfId="0" applyFont="1" applyFill="1" applyBorder="1" applyAlignment="1">
      <alignment horizontal="center" vertical="center"/>
    </xf>
    <xf numFmtId="0" fontId="6" fillId="5" borderId="0" xfId="0" applyFont="1" applyFill="1"/>
    <xf numFmtId="0" fontId="6" fillId="6" borderId="0" xfId="0" applyFont="1" applyFill="1"/>
    <xf numFmtId="0" fontId="14" fillId="0" borderId="8" xfId="0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0" fontId="13" fillId="0" borderId="8" xfId="0" applyFont="1" applyBorder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6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 wrapText="1"/>
    </xf>
    <xf numFmtId="0" fontId="15" fillId="2" borderId="2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center" vertical="top" wrapText="1"/>
    </xf>
    <xf numFmtId="0" fontId="15" fillId="2" borderId="11" xfId="0" applyFont="1" applyFill="1" applyBorder="1" applyAlignment="1">
      <alignment horizontal="center" vertical="top" wrapText="1"/>
    </xf>
    <xf numFmtId="0" fontId="16" fillId="2" borderId="13" xfId="0" applyFont="1" applyFill="1" applyBorder="1" applyAlignment="1">
      <alignment wrapText="1"/>
    </xf>
    <xf numFmtId="0" fontId="17" fillId="0" borderId="0" xfId="0" applyFont="1" applyAlignment="1">
      <alignment wrapText="1"/>
    </xf>
    <xf numFmtId="0" fontId="15" fillId="2" borderId="5" xfId="0" applyFont="1" applyFill="1" applyBorder="1" applyAlignment="1">
      <alignment horizontal="center" vertical="top" wrapText="1"/>
    </xf>
    <xf numFmtId="0" fontId="15" fillId="2" borderId="6" xfId="0" applyFont="1" applyFill="1" applyBorder="1" applyAlignment="1">
      <alignment horizontal="center" vertical="top" wrapText="1"/>
    </xf>
    <xf numFmtId="0" fontId="15" fillId="2" borderId="0" xfId="0" applyFont="1" applyFill="1" applyBorder="1" applyAlignment="1">
      <alignment horizontal="center" vertical="top" wrapText="1"/>
    </xf>
    <xf numFmtId="0" fontId="16" fillId="2" borderId="15" xfId="0" applyFont="1" applyFill="1" applyBorder="1" applyAlignment="1">
      <alignment wrapText="1"/>
    </xf>
    <xf numFmtId="0" fontId="18" fillId="0" borderId="5" xfId="0" applyFont="1" applyBorder="1" applyAlignment="1">
      <alignment horizontal="right" vertical="top" wrapText="1"/>
    </xf>
    <xf numFmtId="0" fontId="15" fillId="0" borderId="4" xfId="0" applyFont="1" applyBorder="1" applyAlignment="1">
      <alignment horizontal="center" vertical="top" wrapText="1"/>
    </xf>
    <xf numFmtId="0" fontId="17" fillId="0" borderId="6" xfId="0" applyFont="1" applyBorder="1" applyAlignment="1">
      <alignment vertical="top" wrapText="1"/>
    </xf>
    <xf numFmtId="0" fontId="17" fillId="0" borderId="6" xfId="0" applyFont="1" applyBorder="1" applyAlignment="1">
      <alignment horizontal="right" vertical="top" wrapText="1"/>
    </xf>
    <xf numFmtId="0" fontId="19" fillId="3" borderId="10" xfId="0" applyFont="1" applyFill="1" applyBorder="1" applyAlignment="1">
      <alignment horizontal="center" vertical="center" wrapText="1"/>
    </xf>
    <xf numFmtId="20" fontId="19" fillId="0" borderId="15" xfId="0" applyNumberFormat="1" applyFont="1" applyBorder="1" applyAlignment="1">
      <alignment horizontal="center" wrapText="1"/>
    </xf>
    <xf numFmtId="0" fontId="19" fillId="0" borderId="16" xfId="0" applyFont="1" applyBorder="1" applyAlignment="1">
      <alignment horizontal="center" wrapText="1"/>
    </xf>
    <xf numFmtId="0" fontId="19" fillId="0" borderId="13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right" vertical="top" wrapText="1"/>
    </xf>
    <xf numFmtId="0" fontId="20" fillId="0" borderId="4" xfId="0" applyFont="1" applyBorder="1" applyAlignment="1">
      <alignment wrapText="1"/>
    </xf>
    <xf numFmtId="0" fontId="17" fillId="0" borderId="8" xfId="0" applyFont="1" applyBorder="1" applyAlignment="1">
      <alignment vertical="top" wrapText="1"/>
    </xf>
    <xf numFmtId="0" fontId="17" fillId="0" borderId="8" xfId="0" applyFont="1" applyBorder="1" applyAlignment="1">
      <alignment horizontal="right" vertical="top" wrapText="1"/>
    </xf>
    <xf numFmtId="0" fontId="20" fillId="0" borderId="11" xfId="0" applyFont="1" applyBorder="1" applyAlignment="1">
      <alignment wrapText="1"/>
    </xf>
    <xf numFmtId="20" fontId="19" fillId="0" borderId="9" xfId="0" applyNumberFormat="1" applyFont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19" fillId="0" borderId="14" xfId="0" applyFont="1" applyBorder="1" applyAlignment="1">
      <alignment horizontal="left" vertical="top" wrapText="1"/>
    </xf>
    <xf numFmtId="0" fontId="19" fillId="0" borderId="15" xfId="0" applyFont="1" applyBorder="1" applyAlignment="1">
      <alignment horizontal="left" vertical="top" wrapText="1"/>
    </xf>
    <xf numFmtId="0" fontId="20" fillId="0" borderId="12" xfId="0" applyFont="1" applyBorder="1" applyAlignment="1">
      <alignment wrapText="1"/>
    </xf>
    <xf numFmtId="0" fontId="19" fillId="0" borderId="18" xfId="0" applyFont="1" applyBorder="1" applyAlignment="1">
      <alignment horizontal="center" wrapText="1"/>
    </xf>
    <xf numFmtId="0" fontId="19" fillId="0" borderId="9" xfId="0" applyFont="1" applyBorder="1" applyAlignment="1">
      <alignment horizontal="left" vertical="top" wrapText="1"/>
    </xf>
    <xf numFmtId="0" fontId="19" fillId="5" borderId="10" xfId="0" applyFont="1" applyFill="1" applyBorder="1" applyAlignment="1">
      <alignment horizontal="center" vertical="center" wrapText="1"/>
    </xf>
    <xf numFmtId="20" fontId="19" fillId="0" borderId="13" xfId="0" applyNumberFormat="1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20" fontId="19" fillId="0" borderId="14" xfId="0" applyNumberFormat="1" applyFont="1" applyBorder="1" applyAlignment="1">
      <alignment horizontal="center" wrapText="1"/>
    </xf>
    <xf numFmtId="0" fontId="19" fillId="0" borderId="14" xfId="0" applyFont="1" applyBorder="1" applyAlignment="1">
      <alignment horizontal="center" wrapText="1"/>
    </xf>
    <xf numFmtId="0" fontId="17" fillId="0" borderId="9" xfId="0" applyFont="1" applyBorder="1" applyAlignment="1">
      <alignment horizontal="left" vertical="top" wrapText="1"/>
    </xf>
    <xf numFmtId="0" fontId="19" fillId="0" borderId="15" xfId="0" applyFont="1" applyBorder="1" applyAlignment="1">
      <alignment horizontal="center" wrapText="1"/>
    </xf>
    <xf numFmtId="0" fontId="20" fillId="0" borderId="5" xfId="0" applyFont="1" applyBorder="1" applyAlignment="1">
      <alignment wrapText="1"/>
    </xf>
    <xf numFmtId="0" fontId="17" fillId="0" borderId="13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9" fillId="7" borderId="0" xfId="0" applyFont="1" applyFill="1" applyAlignment="1">
      <alignment wrapText="1"/>
    </xf>
    <xf numFmtId="0" fontId="18" fillId="0" borderId="10" xfId="0" applyFont="1" applyBorder="1" applyAlignment="1">
      <alignment horizontal="right" vertical="top" wrapText="1"/>
    </xf>
    <xf numFmtId="0" fontId="19" fillId="0" borderId="13" xfId="0" applyFont="1" applyBorder="1" applyAlignment="1">
      <alignment horizontal="center" wrapText="1"/>
    </xf>
    <xf numFmtId="0" fontId="17" fillId="0" borderId="2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right" vertical="top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wrapText="1"/>
    </xf>
    <xf numFmtId="0" fontId="19" fillId="7" borderId="13" xfId="0" applyFont="1" applyFill="1" applyBorder="1" applyAlignment="1">
      <alignment horizontal="left" vertical="top" wrapText="1"/>
    </xf>
    <xf numFmtId="0" fontId="18" fillId="0" borderId="9" xfId="0" applyFont="1" applyBorder="1" applyAlignment="1">
      <alignment vertical="top" wrapText="1"/>
    </xf>
    <xf numFmtId="0" fontId="17" fillId="0" borderId="9" xfId="0" applyFont="1" applyBorder="1" applyAlignment="1">
      <alignment vertical="top" wrapText="1"/>
    </xf>
    <xf numFmtId="0" fontId="15" fillId="0" borderId="9" xfId="0" applyFont="1" applyBorder="1" applyAlignment="1">
      <alignment horizontal="right" vertical="top" wrapText="1"/>
    </xf>
    <xf numFmtId="0" fontId="19" fillId="7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wrapText="1"/>
    </xf>
    <xf numFmtId="0" fontId="17" fillId="0" borderId="0" xfId="0" applyFont="1" applyAlignment="1">
      <alignment vertical="top" wrapText="1"/>
    </xf>
    <xf numFmtId="0" fontId="15" fillId="0" borderId="0" xfId="0" applyFont="1" applyAlignment="1">
      <alignment horizontal="right" vertical="top" wrapText="1"/>
    </xf>
    <xf numFmtId="0" fontId="17" fillId="0" borderId="0" xfId="0" applyFont="1" applyAlignment="1">
      <alignment horizontal="left"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72"/>
  <sheetViews>
    <sheetView workbookViewId="0"/>
  </sheetViews>
  <sheetFormatPr defaultColWidth="12.5703125" defaultRowHeight="15.75" customHeight="1"/>
  <cols>
    <col min="2" max="2" width="9.42578125" customWidth="1"/>
    <col min="3" max="3" width="59.5703125" customWidth="1"/>
    <col min="4" max="4" width="27.140625" customWidth="1"/>
    <col min="5" max="5" width="8.7109375" customWidth="1"/>
    <col min="6" max="6" width="11.1406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spans="1:26">
      <c r="A2" s="6"/>
      <c r="B2" s="7" t="s">
        <v>7</v>
      </c>
      <c r="C2" s="7"/>
      <c r="D2" s="7" t="s">
        <v>8</v>
      </c>
      <c r="E2" s="7" t="s">
        <v>9</v>
      </c>
      <c r="F2" s="7" t="s">
        <v>10</v>
      </c>
      <c r="G2" s="8"/>
    </row>
    <row r="3" spans="1:26">
      <c r="A3" s="9">
        <v>0</v>
      </c>
      <c r="B3" s="40">
        <v>1</v>
      </c>
      <c r="C3" s="10" t="s">
        <v>11</v>
      </c>
      <c r="D3" s="10"/>
      <c r="E3" s="11"/>
      <c r="F3" s="12">
        <v>600</v>
      </c>
      <c r="G3" s="36" t="s">
        <v>12</v>
      </c>
      <c r="H3" s="13" t="s">
        <v>13</v>
      </c>
    </row>
    <row r="4" spans="1:26">
      <c r="A4" s="14">
        <v>1</v>
      </c>
      <c r="B4" s="37"/>
      <c r="C4" s="15" t="s">
        <v>14</v>
      </c>
      <c r="D4" s="15" t="s">
        <v>15</v>
      </c>
      <c r="E4" s="16"/>
      <c r="F4" s="17">
        <v>60</v>
      </c>
      <c r="G4" s="37"/>
    </row>
    <row r="5" spans="1:26">
      <c r="A5" s="14">
        <v>2</v>
      </c>
      <c r="B5" s="37"/>
      <c r="C5" s="15" t="s">
        <v>16</v>
      </c>
      <c r="D5" s="15" t="s">
        <v>17</v>
      </c>
      <c r="E5" s="16"/>
      <c r="F5" s="17">
        <v>60</v>
      </c>
      <c r="G5" s="37"/>
    </row>
    <row r="6" spans="1:26">
      <c r="A6" s="14">
        <v>3</v>
      </c>
      <c r="B6" s="37"/>
      <c r="C6" s="15" t="s">
        <v>18</v>
      </c>
      <c r="D6" s="15" t="s">
        <v>19</v>
      </c>
      <c r="E6" s="16"/>
      <c r="F6" s="17">
        <v>60</v>
      </c>
      <c r="G6" s="37"/>
    </row>
    <row r="7" spans="1:26">
      <c r="A7" s="14">
        <v>4</v>
      </c>
      <c r="B7" s="37"/>
      <c r="C7" s="15" t="s">
        <v>20</v>
      </c>
      <c r="D7" s="15" t="s">
        <v>21</v>
      </c>
      <c r="E7" s="16"/>
      <c r="F7" s="17">
        <v>60</v>
      </c>
      <c r="G7" s="38"/>
    </row>
    <row r="8" spans="1:26">
      <c r="A8" s="14">
        <v>5</v>
      </c>
      <c r="B8" s="37"/>
      <c r="C8" s="15" t="s">
        <v>22</v>
      </c>
      <c r="D8" s="15" t="s">
        <v>23</v>
      </c>
      <c r="E8" s="16"/>
      <c r="F8" s="17">
        <v>60</v>
      </c>
      <c r="G8" s="36" t="s">
        <v>24</v>
      </c>
      <c r="H8" s="13" t="s">
        <v>25</v>
      </c>
    </row>
    <row r="9" spans="1:26">
      <c r="A9" s="14">
        <v>6</v>
      </c>
      <c r="B9" s="37"/>
      <c r="C9" s="15" t="s">
        <v>26</v>
      </c>
      <c r="D9" s="15" t="s">
        <v>27</v>
      </c>
      <c r="E9" s="16"/>
      <c r="F9" s="17">
        <v>60</v>
      </c>
      <c r="G9" s="37"/>
    </row>
    <row r="10" spans="1:26">
      <c r="A10" s="14">
        <v>7</v>
      </c>
      <c r="B10" s="37"/>
      <c r="C10" s="15" t="s">
        <v>28</v>
      </c>
      <c r="D10" s="18" t="s">
        <v>29</v>
      </c>
      <c r="E10" s="17">
        <v>4</v>
      </c>
      <c r="F10" s="17">
        <v>30</v>
      </c>
      <c r="G10" s="37"/>
    </row>
    <row r="11" spans="1:26">
      <c r="A11" s="14">
        <v>8</v>
      </c>
      <c r="B11" s="37"/>
      <c r="C11" s="15" t="s">
        <v>28</v>
      </c>
      <c r="D11" s="15" t="s">
        <v>29</v>
      </c>
      <c r="E11" s="17">
        <v>8</v>
      </c>
      <c r="F11" s="17">
        <v>15</v>
      </c>
      <c r="G11" s="37"/>
    </row>
    <row r="12" spans="1:26">
      <c r="A12" s="19">
        <v>9</v>
      </c>
      <c r="B12" s="37"/>
      <c r="C12" s="20" t="s">
        <v>30</v>
      </c>
      <c r="D12" s="20" t="s">
        <v>31</v>
      </c>
      <c r="E12" s="21">
        <v>2</v>
      </c>
      <c r="F12" s="21">
        <v>132</v>
      </c>
      <c r="G12" s="37"/>
      <c r="H12" s="22" t="s">
        <v>32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14">
        <v>10</v>
      </c>
      <c r="B13" s="37"/>
      <c r="C13" s="15" t="s">
        <v>33</v>
      </c>
      <c r="D13" s="15" t="s">
        <v>31</v>
      </c>
      <c r="E13" s="17">
        <v>4</v>
      </c>
      <c r="F13" s="17">
        <v>66</v>
      </c>
      <c r="G13" s="37"/>
      <c r="H13" s="13" t="s">
        <v>34</v>
      </c>
    </row>
    <row r="14" spans="1:26">
      <c r="A14" s="14">
        <v>11</v>
      </c>
      <c r="B14" s="37"/>
      <c r="C14" s="15" t="s">
        <v>33</v>
      </c>
      <c r="D14" s="15" t="s">
        <v>31</v>
      </c>
      <c r="E14" s="17">
        <v>8</v>
      </c>
      <c r="F14" s="17">
        <v>33</v>
      </c>
      <c r="G14" s="38"/>
    </row>
    <row r="15" spans="1:26">
      <c r="A15" s="19">
        <v>12</v>
      </c>
      <c r="B15" s="37"/>
      <c r="C15" s="20" t="s">
        <v>35</v>
      </c>
      <c r="D15" s="20" t="s">
        <v>36</v>
      </c>
      <c r="E15" s="21">
        <v>2</v>
      </c>
      <c r="F15" s="21">
        <v>132</v>
      </c>
      <c r="G15" s="24" t="s">
        <v>37</v>
      </c>
      <c r="H15" s="22" t="s">
        <v>38</v>
      </c>
      <c r="I15" s="23"/>
      <c r="J15" s="22" t="s">
        <v>32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14">
        <v>13</v>
      </c>
      <c r="B16" s="37"/>
      <c r="C16" s="15" t="s">
        <v>35</v>
      </c>
      <c r="D16" s="15" t="s">
        <v>36</v>
      </c>
      <c r="E16" s="17">
        <v>4</v>
      </c>
      <c r="F16" s="17">
        <v>66</v>
      </c>
      <c r="G16" s="36" t="s">
        <v>39</v>
      </c>
      <c r="H16" s="13" t="s">
        <v>40</v>
      </c>
    </row>
    <row r="17" spans="1:26">
      <c r="A17" s="14">
        <v>14</v>
      </c>
      <c r="B17" s="37"/>
      <c r="C17" s="15" t="s">
        <v>35</v>
      </c>
      <c r="D17" s="15" t="s">
        <v>36</v>
      </c>
      <c r="E17" s="17">
        <v>8</v>
      </c>
      <c r="F17" s="17">
        <v>33</v>
      </c>
      <c r="G17" s="38"/>
    </row>
    <row r="18" spans="1:26">
      <c r="A18" s="19">
        <v>15</v>
      </c>
      <c r="B18" s="37"/>
      <c r="C18" s="20" t="s">
        <v>41</v>
      </c>
      <c r="D18" s="20" t="s">
        <v>42</v>
      </c>
      <c r="E18" s="21">
        <v>2</v>
      </c>
      <c r="F18" s="21">
        <v>132</v>
      </c>
      <c r="G18" s="24" t="s">
        <v>43</v>
      </c>
      <c r="H18" s="23" t="s">
        <v>44</v>
      </c>
      <c r="I18" s="23"/>
      <c r="J18" s="22" t="s">
        <v>32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14">
        <v>16</v>
      </c>
      <c r="B19" s="37"/>
      <c r="C19" s="15" t="s">
        <v>41</v>
      </c>
      <c r="D19" s="15" t="s">
        <v>42</v>
      </c>
      <c r="E19" s="17">
        <v>4</v>
      </c>
      <c r="F19" s="17">
        <v>66</v>
      </c>
      <c r="G19" s="36" t="s">
        <v>45</v>
      </c>
      <c r="H19" s="13" t="s">
        <v>46</v>
      </c>
    </row>
    <row r="20" spans="1:26">
      <c r="A20" s="14">
        <v>17</v>
      </c>
      <c r="B20" s="37"/>
      <c r="C20" s="15" t="s">
        <v>41</v>
      </c>
      <c r="D20" s="15" t="s">
        <v>42</v>
      </c>
      <c r="E20" s="17">
        <v>8</v>
      </c>
      <c r="F20" s="17">
        <v>33</v>
      </c>
      <c r="G20" s="38"/>
    </row>
    <row r="21" spans="1:26">
      <c r="A21" s="14">
        <v>18</v>
      </c>
      <c r="B21" s="37"/>
      <c r="C21" s="15" t="s">
        <v>47</v>
      </c>
      <c r="D21" s="15" t="s">
        <v>48</v>
      </c>
      <c r="E21" s="17">
        <v>4</v>
      </c>
      <c r="F21" s="17">
        <v>16</v>
      </c>
      <c r="G21" s="36" t="s">
        <v>49</v>
      </c>
      <c r="H21" s="13" t="s">
        <v>50</v>
      </c>
    </row>
    <row r="22" spans="1:26">
      <c r="A22" s="14">
        <v>19</v>
      </c>
      <c r="B22" s="37"/>
      <c r="C22" s="15" t="s">
        <v>51</v>
      </c>
      <c r="D22" s="15" t="s">
        <v>52</v>
      </c>
      <c r="E22" s="17">
        <v>4</v>
      </c>
      <c r="F22" s="17">
        <v>94</v>
      </c>
      <c r="G22" s="37"/>
    </row>
    <row r="23" spans="1:26">
      <c r="A23" s="14">
        <v>20</v>
      </c>
      <c r="B23" s="37"/>
      <c r="C23" s="15" t="s">
        <v>53</v>
      </c>
      <c r="D23" s="15" t="s">
        <v>54</v>
      </c>
      <c r="E23" s="17">
        <v>4</v>
      </c>
      <c r="F23" s="17">
        <v>188</v>
      </c>
      <c r="G23" s="37"/>
    </row>
    <row r="24" spans="1:26">
      <c r="A24" s="14">
        <v>21</v>
      </c>
      <c r="B24" s="37"/>
      <c r="C24" s="18" t="s">
        <v>55</v>
      </c>
      <c r="D24" s="18" t="s">
        <v>56</v>
      </c>
      <c r="E24" s="17">
        <v>4</v>
      </c>
      <c r="F24" s="17">
        <v>63</v>
      </c>
      <c r="G24" s="38"/>
      <c r="H24" s="13" t="s">
        <v>57</v>
      </c>
    </row>
    <row r="25" spans="1:26">
      <c r="A25" s="14">
        <v>22</v>
      </c>
      <c r="B25" s="37"/>
      <c r="C25" s="15" t="s">
        <v>58</v>
      </c>
      <c r="D25" s="15" t="s">
        <v>59</v>
      </c>
      <c r="E25" s="25">
        <v>4</v>
      </c>
      <c r="F25" s="17">
        <v>69</v>
      </c>
      <c r="G25" s="36" t="s">
        <v>60</v>
      </c>
      <c r="H25" s="13" t="s">
        <v>61</v>
      </c>
      <c r="K25" s="13" t="s">
        <v>62</v>
      </c>
    </row>
    <row r="26" spans="1:26">
      <c r="A26" s="14">
        <v>23</v>
      </c>
      <c r="B26" s="37"/>
      <c r="C26" s="15" t="s">
        <v>58</v>
      </c>
      <c r="D26" s="15" t="s">
        <v>63</v>
      </c>
      <c r="E26" s="25">
        <v>4</v>
      </c>
      <c r="F26" s="17">
        <v>69</v>
      </c>
      <c r="G26" s="37"/>
      <c r="H26" s="13" t="s">
        <v>64</v>
      </c>
    </row>
    <row r="27" spans="1:26">
      <c r="A27" s="14">
        <v>24</v>
      </c>
      <c r="B27" s="37"/>
      <c r="C27" s="15" t="s">
        <v>58</v>
      </c>
      <c r="D27" s="15" t="s">
        <v>65</v>
      </c>
      <c r="E27" s="25">
        <v>4</v>
      </c>
      <c r="F27" s="17">
        <v>69</v>
      </c>
      <c r="G27" s="37"/>
      <c r="H27" s="13"/>
    </row>
    <row r="28" spans="1:26">
      <c r="A28" s="14">
        <v>25</v>
      </c>
      <c r="B28" s="37"/>
      <c r="C28" s="15" t="s">
        <v>58</v>
      </c>
      <c r="D28" s="15" t="s">
        <v>66</v>
      </c>
      <c r="E28" s="25">
        <v>4</v>
      </c>
      <c r="F28" s="17">
        <v>69</v>
      </c>
      <c r="G28" s="38"/>
      <c r="H28" s="13"/>
    </row>
    <row r="29" spans="1:26">
      <c r="A29" s="14">
        <v>26</v>
      </c>
      <c r="B29" s="38"/>
      <c r="C29" s="15" t="s">
        <v>67</v>
      </c>
      <c r="D29" s="16" t="s">
        <v>68</v>
      </c>
      <c r="E29" s="17">
        <v>8</v>
      </c>
      <c r="F29" s="17">
        <v>188</v>
      </c>
      <c r="G29" s="26" t="s">
        <v>69</v>
      </c>
      <c r="H29" s="27" t="s">
        <v>70</v>
      </c>
      <c r="I29" s="28"/>
      <c r="J29" s="28"/>
      <c r="K29" s="28"/>
      <c r="L29" s="28"/>
    </row>
    <row r="30" spans="1:26">
      <c r="A30" s="14">
        <v>27</v>
      </c>
      <c r="B30" s="40">
        <v>2</v>
      </c>
      <c r="C30" s="15" t="s">
        <v>71</v>
      </c>
      <c r="D30" s="16" t="s">
        <v>72</v>
      </c>
      <c r="E30" s="17">
        <v>4</v>
      </c>
      <c r="F30" s="17">
        <v>8</v>
      </c>
      <c r="G30" s="36" t="s">
        <v>73</v>
      </c>
      <c r="H30" s="13" t="s">
        <v>74</v>
      </c>
    </row>
    <row r="31" spans="1:26">
      <c r="A31" s="14">
        <v>28</v>
      </c>
      <c r="B31" s="37"/>
      <c r="C31" s="15" t="s">
        <v>75</v>
      </c>
      <c r="D31" s="16" t="s">
        <v>72</v>
      </c>
      <c r="E31" s="17">
        <v>4</v>
      </c>
      <c r="F31" s="17">
        <v>47</v>
      </c>
      <c r="G31" s="37"/>
    </row>
    <row r="32" spans="1:26">
      <c r="A32" s="14">
        <v>29</v>
      </c>
      <c r="B32" s="38"/>
      <c r="C32" s="15" t="s">
        <v>76</v>
      </c>
      <c r="D32" s="16" t="s">
        <v>72</v>
      </c>
      <c r="E32" s="17">
        <v>4</v>
      </c>
      <c r="F32" s="17">
        <v>188</v>
      </c>
      <c r="G32" s="38"/>
    </row>
    <row r="33" spans="1:8">
      <c r="A33" s="14">
        <v>30</v>
      </c>
      <c r="B33" s="40">
        <v>3</v>
      </c>
      <c r="C33" s="15" t="s">
        <v>71</v>
      </c>
      <c r="D33" s="16" t="s">
        <v>72</v>
      </c>
      <c r="E33" s="17">
        <v>4</v>
      </c>
      <c r="F33" s="17">
        <v>8</v>
      </c>
      <c r="G33" s="36" t="s">
        <v>77</v>
      </c>
      <c r="H33" s="13" t="s">
        <v>78</v>
      </c>
    </row>
    <row r="34" spans="1:8">
      <c r="A34" s="14">
        <v>31</v>
      </c>
      <c r="B34" s="37"/>
      <c r="C34" s="15" t="s">
        <v>75</v>
      </c>
      <c r="D34" s="16" t="s">
        <v>72</v>
      </c>
      <c r="E34" s="17">
        <v>4</v>
      </c>
      <c r="F34" s="17">
        <v>47</v>
      </c>
      <c r="G34" s="37"/>
    </row>
    <row r="35" spans="1:8">
      <c r="A35" s="14">
        <v>32</v>
      </c>
      <c r="B35" s="38"/>
      <c r="C35" s="15" t="s">
        <v>76</v>
      </c>
      <c r="D35" s="16" t="s">
        <v>72</v>
      </c>
      <c r="E35" s="17">
        <v>4</v>
      </c>
      <c r="F35" s="17">
        <v>188</v>
      </c>
      <c r="G35" s="38"/>
    </row>
    <row r="36" spans="1:8">
      <c r="A36" s="14">
        <v>33</v>
      </c>
      <c r="B36" s="40">
        <v>4</v>
      </c>
      <c r="C36" s="15" t="s">
        <v>71</v>
      </c>
      <c r="D36" s="16" t="s">
        <v>72</v>
      </c>
      <c r="E36" s="17">
        <v>4</v>
      </c>
      <c r="F36" s="17">
        <v>8</v>
      </c>
      <c r="G36" s="36" t="s">
        <v>79</v>
      </c>
      <c r="H36" s="13" t="s">
        <v>80</v>
      </c>
    </row>
    <row r="37" spans="1:8">
      <c r="A37" s="14">
        <v>34</v>
      </c>
      <c r="B37" s="37"/>
      <c r="C37" s="15" t="s">
        <v>75</v>
      </c>
      <c r="D37" s="16" t="s">
        <v>72</v>
      </c>
      <c r="E37" s="17">
        <v>4</v>
      </c>
      <c r="F37" s="17">
        <v>47</v>
      </c>
      <c r="G37" s="37"/>
    </row>
    <row r="38" spans="1:8">
      <c r="A38" s="14">
        <v>35</v>
      </c>
      <c r="B38" s="38"/>
      <c r="C38" s="15" t="s">
        <v>76</v>
      </c>
      <c r="D38" s="16" t="s">
        <v>72</v>
      </c>
      <c r="E38" s="17">
        <v>4</v>
      </c>
      <c r="F38" s="17">
        <v>188</v>
      </c>
      <c r="G38" s="38"/>
    </row>
    <row r="39" spans="1:8">
      <c r="A39" s="14">
        <v>36</v>
      </c>
      <c r="B39" s="40">
        <v>5</v>
      </c>
      <c r="C39" s="15" t="s">
        <v>71</v>
      </c>
      <c r="D39" s="16" t="s">
        <v>72</v>
      </c>
      <c r="E39" s="17">
        <v>4</v>
      </c>
      <c r="F39" s="17">
        <v>8</v>
      </c>
      <c r="G39" s="36" t="s">
        <v>81</v>
      </c>
      <c r="H39" s="13" t="s">
        <v>82</v>
      </c>
    </row>
    <row r="40" spans="1:8">
      <c r="A40" s="14">
        <v>37</v>
      </c>
      <c r="B40" s="37"/>
      <c r="C40" s="15" t="s">
        <v>75</v>
      </c>
      <c r="D40" s="16" t="s">
        <v>72</v>
      </c>
      <c r="E40" s="17">
        <v>4</v>
      </c>
      <c r="F40" s="17">
        <v>47</v>
      </c>
      <c r="G40" s="37"/>
    </row>
    <row r="41" spans="1:8">
      <c r="A41" s="14">
        <v>38</v>
      </c>
      <c r="B41" s="38"/>
      <c r="C41" s="15" t="s">
        <v>76</v>
      </c>
      <c r="D41" s="16" t="s">
        <v>72</v>
      </c>
      <c r="E41" s="17">
        <v>4</v>
      </c>
      <c r="F41" s="17">
        <v>188</v>
      </c>
      <c r="G41" s="38"/>
    </row>
    <row r="42" spans="1:8">
      <c r="A42" s="29">
        <v>39</v>
      </c>
      <c r="B42" s="30">
        <v>5</v>
      </c>
      <c r="C42" s="18" t="s">
        <v>83</v>
      </c>
      <c r="D42" s="31" t="s">
        <v>29</v>
      </c>
      <c r="E42" s="25">
        <v>4</v>
      </c>
      <c r="F42" s="25">
        <v>60</v>
      </c>
      <c r="G42" s="39" t="s">
        <v>84</v>
      </c>
      <c r="H42" s="13" t="s">
        <v>85</v>
      </c>
    </row>
    <row r="43" spans="1:8">
      <c r="A43" s="29">
        <v>40</v>
      </c>
      <c r="B43" s="30">
        <v>5</v>
      </c>
      <c r="C43" s="18" t="s">
        <v>83</v>
      </c>
      <c r="D43" s="31" t="s">
        <v>29</v>
      </c>
      <c r="E43" s="25">
        <v>8</v>
      </c>
      <c r="F43" s="25">
        <v>30</v>
      </c>
      <c r="G43" s="38"/>
    </row>
    <row r="44" spans="1:8">
      <c r="A44" s="32"/>
      <c r="B44" s="32"/>
      <c r="C44" s="32"/>
      <c r="D44" s="32"/>
      <c r="E44" s="32"/>
      <c r="F44" s="33">
        <f>SUM(F2:F43)</f>
        <v>3585</v>
      </c>
    </row>
    <row r="45" spans="1:8">
      <c r="A45" s="32"/>
      <c r="B45" s="32"/>
      <c r="C45" s="32"/>
      <c r="D45" s="32"/>
      <c r="E45" s="32"/>
      <c r="F45" s="34"/>
    </row>
    <row r="46" spans="1:8">
      <c r="A46" s="32"/>
      <c r="B46" s="32"/>
      <c r="C46" s="32"/>
      <c r="D46" s="32"/>
      <c r="E46" s="32"/>
      <c r="F46" s="34"/>
    </row>
    <row r="47" spans="1:8">
      <c r="A47" s="32"/>
      <c r="B47" s="32"/>
      <c r="C47" s="35"/>
      <c r="D47" s="32"/>
      <c r="E47" s="32"/>
      <c r="F47" s="32"/>
    </row>
    <row r="48" spans="1:8">
      <c r="A48" s="32"/>
      <c r="B48" s="32"/>
      <c r="C48" s="32"/>
      <c r="D48" s="32"/>
      <c r="E48" s="32"/>
      <c r="F48" s="32"/>
    </row>
    <row r="49" spans="1:6">
      <c r="A49" s="32"/>
      <c r="B49" s="32"/>
      <c r="C49" s="32"/>
      <c r="D49" s="32"/>
      <c r="E49" s="32"/>
      <c r="F49" s="32"/>
    </row>
    <row r="50" spans="1:6">
      <c r="A50" s="32"/>
      <c r="B50" s="32"/>
      <c r="C50" s="32"/>
      <c r="D50" s="32"/>
      <c r="E50" s="32"/>
      <c r="F50" s="32"/>
    </row>
    <row r="51" spans="1:6">
      <c r="A51" s="32"/>
      <c r="B51" s="32"/>
      <c r="C51" s="32"/>
      <c r="D51" s="32"/>
      <c r="E51" s="32"/>
      <c r="F51" s="32"/>
    </row>
    <row r="52" spans="1:6">
      <c r="A52" s="32"/>
      <c r="B52" s="32"/>
      <c r="C52" s="32"/>
      <c r="D52" s="32"/>
      <c r="E52" s="32"/>
      <c r="F52" s="32"/>
    </row>
    <row r="53" spans="1:6">
      <c r="A53" s="32"/>
      <c r="B53" s="32"/>
      <c r="C53" s="32"/>
      <c r="D53" s="32"/>
      <c r="E53" s="32"/>
      <c r="F53" s="32"/>
    </row>
    <row r="54" spans="1:6">
      <c r="A54" s="32"/>
      <c r="B54" s="32"/>
      <c r="C54" s="32"/>
      <c r="D54" s="32"/>
      <c r="E54" s="32"/>
      <c r="F54" s="32"/>
    </row>
    <row r="55" spans="1:6">
      <c r="A55" s="32"/>
      <c r="B55" s="32"/>
      <c r="C55" s="32"/>
      <c r="D55" s="32"/>
      <c r="E55" s="32"/>
      <c r="F55" s="32"/>
    </row>
    <row r="56" spans="1:6">
      <c r="A56" s="32"/>
      <c r="B56" s="32"/>
      <c r="C56" s="32"/>
      <c r="D56" s="32"/>
      <c r="E56" s="32"/>
      <c r="F56" s="32"/>
    </row>
    <row r="57" spans="1:6">
      <c r="A57" s="32"/>
      <c r="B57" s="32"/>
      <c r="C57" s="32"/>
      <c r="D57" s="32"/>
      <c r="E57" s="32"/>
      <c r="F57" s="32"/>
    </row>
    <row r="58" spans="1:6">
      <c r="A58" s="32"/>
      <c r="B58" s="32"/>
      <c r="C58" s="32"/>
      <c r="D58" s="32"/>
      <c r="E58" s="32"/>
      <c r="F58" s="32"/>
    </row>
    <row r="59" spans="1:6">
      <c r="A59" s="32"/>
      <c r="B59" s="32"/>
      <c r="C59" s="32"/>
      <c r="D59" s="32"/>
      <c r="E59" s="32"/>
      <c r="F59" s="32"/>
    </row>
    <row r="60" spans="1:6">
      <c r="A60" s="32"/>
      <c r="B60" s="32"/>
      <c r="C60" s="32"/>
      <c r="D60" s="32"/>
      <c r="E60" s="32"/>
      <c r="F60" s="32"/>
    </row>
    <row r="61" spans="1:6">
      <c r="A61" s="32"/>
      <c r="B61" s="32"/>
      <c r="C61" s="32"/>
      <c r="D61" s="32"/>
      <c r="E61" s="32"/>
      <c r="F61" s="32"/>
    </row>
    <row r="62" spans="1:6">
      <c r="A62" s="32"/>
      <c r="B62" s="32"/>
      <c r="C62" s="32"/>
      <c r="D62" s="32"/>
      <c r="E62" s="32"/>
      <c r="F62" s="32"/>
    </row>
    <row r="63" spans="1:6">
      <c r="A63" s="32"/>
      <c r="B63" s="32"/>
      <c r="C63" s="32"/>
      <c r="D63" s="32"/>
      <c r="E63" s="32"/>
      <c r="F63" s="32"/>
    </row>
    <row r="64" spans="1:6">
      <c r="A64" s="32"/>
      <c r="B64" s="32"/>
      <c r="C64" s="32"/>
      <c r="D64" s="32"/>
      <c r="E64" s="32"/>
      <c r="F64" s="32"/>
    </row>
    <row r="65" spans="1:6">
      <c r="A65" s="32"/>
      <c r="B65" s="32"/>
      <c r="C65" s="32"/>
      <c r="D65" s="32"/>
      <c r="E65" s="32"/>
      <c r="F65" s="32"/>
    </row>
    <row r="66" spans="1:6">
      <c r="A66" s="32"/>
      <c r="B66" s="32"/>
      <c r="C66" s="32"/>
      <c r="D66" s="32"/>
      <c r="E66" s="32"/>
      <c r="F66" s="32"/>
    </row>
    <row r="67" spans="1:6">
      <c r="A67" s="32"/>
      <c r="B67" s="32"/>
      <c r="C67" s="32"/>
      <c r="D67" s="32"/>
      <c r="E67" s="32"/>
      <c r="F67" s="32"/>
    </row>
    <row r="68" spans="1:6">
      <c r="A68" s="32"/>
      <c r="B68" s="32"/>
      <c r="C68" s="32"/>
      <c r="D68" s="32"/>
      <c r="E68" s="32"/>
      <c r="F68" s="32"/>
    </row>
    <row r="69" spans="1:6">
      <c r="A69" s="32"/>
      <c r="B69" s="32"/>
      <c r="C69" s="32"/>
      <c r="D69" s="32"/>
      <c r="E69" s="32"/>
      <c r="F69" s="32"/>
    </row>
    <row r="70" spans="1:6">
      <c r="A70" s="32"/>
      <c r="B70" s="32"/>
      <c r="C70" s="32"/>
      <c r="D70" s="32"/>
      <c r="E70" s="32"/>
      <c r="F70" s="32"/>
    </row>
    <row r="71" spans="1:6">
      <c r="A71" s="32"/>
      <c r="B71" s="32"/>
      <c r="C71" s="32"/>
      <c r="D71" s="32"/>
      <c r="E71" s="32"/>
      <c r="F71" s="32"/>
    </row>
    <row r="72" spans="1:6">
      <c r="A72" s="32"/>
      <c r="B72" s="32"/>
      <c r="C72" s="32"/>
      <c r="D72" s="32"/>
      <c r="E72" s="32"/>
      <c r="F72" s="32"/>
    </row>
  </sheetData>
  <mergeCells count="16">
    <mergeCell ref="B36:B38"/>
    <mergeCell ref="G36:G38"/>
    <mergeCell ref="B39:B41"/>
    <mergeCell ref="G39:G41"/>
    <mergeCell ref="B3:B29"/>
    <mergeCell ref="G3:G7"/>
    <mergeCell ref="G8:G14"/>
    <mergeCell ref="G16:G17"/>
    <mergeCell ref="G19:G20"/>
    <mergeCell ref="B30:B32"/>
    <mergeCell ref="B33:B35"/>
    <mergeCell ref="G25:G28"/>
    <mergeCell ref="G30:G32"/>
    <mergeCell ref="G21:G24"/>
    <mergeCell ref="G33:G35"/>
    <mergeCell ref="G42:G4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68"/>
  <sheetViews>
    <sheetView tabSelected="1" zoomScale="85" zoomScaleNormal="85" workbookViewId="0">
      <selection activeCell="J41" sqref="A1:J41"/>
    </sheetView>
  </sheetViews>
  <sheetFormatPr defaultColWidth="12.5703125" defaultRowHeight="11.25"/>
  <cols>
    <col min="1" max="1" width="5" style="46" customWidth="1"/>
    <col min="2" max="2" width="7.5703125" style="46" customWidth="1"/>
    <col min="3" max="3" width="29" style="46" customWidth="1"/>
    <col min="4" max="4" width="25.28515625" style="46" customWidth="1"/>
    <col min="5" max="5" width="9.5703125" style="46" customWidth="1"/>
    <col min="6" max="6" width="6.7109375" style="46" customWidth="1"/>
    <col min="7" max="7" width="8.5703125" style="46" customWidth="1"/>
    <col min="8" max="8" width="6.85546875" style="46" customWidth="1"/>
    <col min="9" max="9" width="10.28515625" style="46" customWidth="1"/>
    <col min="10" max="10" width="20.28515625" style="46" customWidth="1"/>
    <col min="11" max="16384" width="12.5703125" style="46"/>
  </cols>
  <sheetData>
    <row r="1" spans="1:10" ht="22.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3" t="s">
        <v>5</v>
      </c>
      <c r="G1" s="44" t="s">
        <v>6</v>
      </c>
      <c r="H1" s="45" t="s">
        <v>86</v>
      </c>
      <c r="I1" s="45" t="s">
        <v>87</v>
      </c>
      <c r="J1" s="45" t="s">
        <v>88</v>
      </c>
    </row>
    <row r="2" spans="1:10">
      <c r="A2" s="47"/>
      <c r="B2" s="48" t="s">
        <v>7</v>
      </c>
      <c r="C2" s="48"/>
      <c r="D2" s="48" t="s">
        <v>8</v>
      </c>
      <c r="E2" s="48" t="s">
        <v>9</v>
      </c>
      <c r="F2" s="48" t="s">
        <v>10</v>
      </c>
      <c r="G2" s="49"/>
      <c r="H2" s="50"/>
      <c r="I2" s="50"/>
      <c r="J2" s="50"/>
    </row>
    <row r="3" spans="1:10" ht="25.5" customHeight="1">
      <c r="A3" s="51">
        <v>0</v>
      </c>
      <c r="B3" s="52">
        <v>1</v>
      </c>
      <c r="C3" s="53" t="s">
        <v>11</v>
      </c>
      <c r="D3" s="53"/>
      <c r="E3" s="53"/>
      <c r="F3" s="54">
        <v>600</v>
      </c>
      <c r="G3" s="55" t="s">
        <v>12</v>
      </c>
      <c r="H3" s="56">
        <v>0.35138888888888886</v>
      </c>
      <c r="I3" s="57" t="s">
        <v>89</v>
      </c>
      <c r="J3" s="58" t="s">
        <v>90</v>
      </c>
    </row>
    <row r="4" spans="1:10">
      <c r="A4" s="59">
        <v>1</v>
      </c>
      <c r="B4" s="60"/>
      <c r="C4" s="61" t="s">
        <v>14</v>
      </c>
      <c r="D4" s="61" t="s">
        <v>15</v>
      </c>
      <c r="E4" s="61"/>
      <c r="F4" s="62">
        <v>60</v>
      </c>
      <c r="G4" s="63"/>
      <c r="H4" s="64"/>
      <c r="I4" s="65"/>
      <c r="J4" s="66"/>
    </row>
    <row r="5" spans="1:10">
      <c r="A5" s="59">
        <v>2</v>
      </c>
      <c r="B5" s="60"/>
      <c r="C5" s="61" t="s">
        <v>16</v>
      </c>
      <c r="D5" s="61" t="s">
        <v>17</v>
      </c>
      <c r="E5" s="61"/>
      <c r="F5" s="62">
        <v>60</v>
      </c>
      <c r="G5" s="63"/>
      <c r="H5" s="64"/>
      <c r="I5" s="65"/>
      <c r="J5" s="66"/>
    </row>
    <row r="6" spans="1:10">
      <c r="A6" s="59">
        <v>3</v>
      </c>
      <c r="B6" s="60"/>
      <c r="C6" s="61" t="s">
        <v>18</v>
      </c>
      <c r="D6" s="61" t="s">
        <v>19</v>
      </c>
      <c r="E6" s="61"/>
      <c r="F6" s="62">
        <v>60</v>
      </c>
      <c r="G6" s="63"/>
      <c r="H6" s="64"/>
      <c r="I6" s="65"/>
      <c r="J6" s="67"/>
    </row>
    <row r="7" spans="1:10">
      <c r="A7" s="59">
        <v>4</v>
      </c>
      <c r="B7" s="60"/>
      <c r="C7" s="61" t="s">
        <v>20</v>
      </c>
      <c r="D7" s="61" t="s">
        <v>21</v>
      </c>
      <c r="E7" s="61"/>
      <c r="F7" s="62">
        <v>60</v>
      </c>
      <c r="G7" s="68"/>
      <c r="H7" s="64"/>
      <c r="I7" s="69"/>
      <c r="J7" s="70" t="s">
        <v>91</v>
      </c>
    </row>
    <row r="8" spans="1:10" ht="33.75">
      <c r="A8" s="59">
        <v>5</v>
      </c>
      <c r="B8" s="60"/>
      <c r="C8" s="61" t="s">
        <v>22</v>
      </c>
      <c r="D8" s="61" t="s">
        <v>23</v>
      </c>
      <c r="E8" s="61"/>
      <c r="F8" s="62">
        <v>60</v>
      </c>
      <c r="G8" s="71" t="s">
        <v>24</v>
      </c>
      <c r="H8" s="72">
        <v>0.40416666666666667</v>
      </c>
      <c r="I8" s="73" t="s">
        <v>92</v>
      </c>
      <c r="J8" s="70" t="s">
        <v>93</v>
      </c>
    </row>
    <row r="9" spans="1:10" ht="22.5">
      <c r="A9" s="59">
        <v>6</v>
      </c>
      <c r="B9" s="60"/>
      <c r="C9" s="61" t="s">
        <v>26</v>
      </c>
      <c r="D9" s="61" t="s">
        <v>27</v>
      </c>
      <c r="E9" s="61"/>
      <c r="F9" s="62">
        <v>60</v>
      </c>
      <c r="G9" s="63"/>
      <c r="H9" s="74"/>
      <c r="I9" s="75"/>
      <c r="J9" s="70" t="s">
        <v>94</v>
      </c>
    </row>
    <row r="10" spans="1:10">
      <c r="A10" s="59">
        <v>7</v>
      </c>
      <c r="B10" s="60"/>
      <c r="C10" s="61" t="s">
        <v>28</v>
      </c>
      <c r="D10" s="61" t="s">
        <v>29</v>
      </c>
      <c r="E10" s="62">
        <v>4</v>
      </c>
      <c r="F10" s="62">
        <v>30</v>
      </c>
      <c r="G10" s="63"/>
      <c r="H10" s="74"/>
      <c r="I10" s="75"/>
      <c r="J10" s="76"/>
    </row>
    <row r="11" spans="1:10">
      <c r="A11" s="59">
        <v>8</v>
      </c>
      <c r="B11" s="60"/>
      <c r="C11" s="61" t="s">
        <v>28</v>
      </c>
      <c r="D11" s="61" t="s">
        <v>29</v>
      </c>
      <c r="E11" s="62">
        <v>8</v>
      </c>
      <c r="F11" s="62">
        <v>15</v>
      </c>
      <c r="G11" s="63"/>
      <c r="H11" s="74"/>
      <c r="I11" s="75"/>
      <c r="J11" s="76"/>
    </row>
    <row r="12" spans="1:10" ht="22.5">
      <c r="A12" s="59">
        <v>10</v>
      </c>
      <c r="B12" s="60"/>
      <c r="C12" s="61" t="s">
        <v>33</v>
      </c>
      <c r="D12" s="61" t="s">
        <v>31</v>
      </c>
      <c r="E12" s="62">
        <v>4</v>
      </c>
      <c r="F12" s="62">
        <v>66</v>
      </c>
      <c r="G12" s="63"/>
      <c r="H12" s="74"/>
      <c r="I12" s="75"/>
      <c r="J12" s="76"/>
    </row>
    <row r="13" spans="1:10" ht="22.5">
      <c r="A13" s="59">
        <v>11</v>
      </c>
      <c r="B13" s="60"/>
      <c r="C13" s="61" t="s">
        <v>33</v>
      </c>
      <c r="D13" s="61" t="s">
        <v>31</v>
      </c>
      <c r="E13" s="62">
        <v>8</v>
      </c>
      <c r="F13" s="62">
        <v>33</v>
      </c>
      <c r="G13" s="68"/>
      <c r="H13" s="56"/>
      <c r="I13" s="77"/>
      <c r="J13" s="76"/>
    </row>
    <row r="14" spans="1:10" ht="22.5">
      <c r="A14" s="59">
        <v>13</v>
      </c>
      <c r="B14" s="60"/>
      <c r="C14" s="61" t="s">
        <v>35</v>
      </c>
      <c r="D14" s="61" t="s">
        <v>36</v>
      </c>
      <c r="E14" s="62">
        <v>4</v>
      </c>
      <c r="F14" s="62">
        <v>66</v>
      </c>
      <c r="G14" s="55" t="s">
        <v>39</v>
      </c>
      <c r="H14" s="72">
        <v>0.28402777777777777</v>
      </c>
      <c r="I14" s="73" t="s">
        <v>95</v>
      </c>
      <c r="J14" s="70" t="s">
        <v>96</v>
      </c>
    </row>
    <row r="15" spans="1:10" ht="22.5">
      <c r="A15" s="59">
        <v>14</v>
      </c>
      <c r="B15" s="60"/>
      <c r="C15" s="61" t="s">
        <v>35</v>
      </c>
      <c r="D15" s="61" t="s">
        <v>36</v>
      </c>
      <c r="E15" s="62">
        <v>8</v>
      </c>
      <c r="F15" s="62">
        <v>33</v>
      </c>
      <c r="G15" s="68"/>
      <c r="H15" s="56"/>
      <c r="I15" s="77"/>
      <c r="J15" s="76"/>
    </row>
    <row r="16" spans="1:10" ht="22.5">
      <c r="A16" s="59">
        <v>16</v>
      </c>
      <c r="B16" s="60"/>
      <c r="C16" s="61" t="s">
        <v>41</v>
      </c>
      <c r="D16" s="61" t="s">
        <v>42</v>
      </c>
      <c r="E16" s="62">
        <v>4</v>
      </c>
      <c r="F16" s="62">
        <v>66</v>
      </c>
      <c r="G16" s="55" t="s">
        <v>45</v>
      </c>
      <c r="H16" s="72">
        <v>0.34652777777777777</v>
      </c>
      <c r="I16" s="73" t="s">
        <v>97</v>
      </c>
      <c r="J16" s="76"/>
    </row>
    <row r="17" spans="1:10" ht="22.5">
      <c r="A17" s="59">
        <v>17</v>
      </c>
      <c r="B17" s="60"/>
      <c r="C17" s="61" t="s">
        <v>41</v>
      </c>
      <c r="D17" s="61" t="s">
        <v>42</v>
      </c>
      <c r="E17" s="62">
        <v>8</v>
      </c>
      <c r="F17" s="62">
        <v>33</v>
      </c>
      <c r="G17" s="68"/>
      <c r="H17" s="56"/>
      <c r="I17" s="77"/>
      <c r="J17" s="76"/>
    </row>
    <row r="18" spans="1:10">
      <c r="A18" s="59">
        <v>18</v>
      </c>
      <c r="B18" s="60"/>
      <c r="C18" s="61" t="s">
        <v>47</v>
      </c>
      <c r="D18" s="61" t="s">
        <v>48</v>
      </c>
      <c r="E18" s="62">
        <v>4</v>
      </c>
      <c r="F18" s="62">
        <v>16</v>
      </c>
      <c r="G18" s="55" t="s">
        <v>49</v>
      </c>
      <c r="H18" s="72">
        <v>0.40138888888888891</v>
      </c>
      <c r="I18" s="73" t="s">
        <v>98</v>
      </c>
      <c r="J18" s="76"/>
    </row>
    <row r="19" spans="1:10">
      <c r="A19" s="59">
        <v>19</v>
      </c>
      <c r="B19" s="60"/>
      <c r="C19" s="61" t="s">
        <v>51</v>
      </c>
      <c r="D19" s="61" t="s">
        <v>52</v>
      </c>
      <c r="E19" s="62">
        <v>4</v>
      </c>
      <c r="F19" s="62">
        <v>94</v>
      </c>
      <c r="G19" s="63"/>
      <c r="H19" s="74"/>
      <c r="I19" s="75"/>
      <c r="J19" s="76"/>
    </row>
    <row r="20" spans="1:10">
      <c r="A20" s="59">
        <v>20</v>
      </c>
      <c r="B20" s="60"/>
      <c r="C20" s="61" t="s">
        <v>53</v>
      </c>
      <c r="D20" s="61" t="s">
        <v>54</v>
      </c>
      <c r="E20" s="62">
        <v>4</v>
      </c>
      <c r="F20" s="62">
        <v>188</v>
      </c>
      <c r="G20" s="63"/>
      <c r="H20" s="74"/>
      <c r="I20" s="75"/>
      <c r="J20" s="76"/>
    </row>
    <row r="21" spans="1:10" ht="22.5">
      <c r="A21" s="59">
        <v>21</v>
      </c>
      <c r="B21" s="60"/>
      <c r="C21" s="61" t="s">
        <v>55</v>
      </c>
      <c r="D21" s="61" t="s">
        <v>56</v>
      </c>
      <c r="E21" s="62">
        <v>4</v>
      </c>
      <c r="F21" s="62">
        <v>63</v>
      </c>
      <c r="G21" s="68"/>
      <c r="H21" s="56"/>
      <c r="I21" s="77"/>
      <c r="J21" s="76"/>
    </row>
    <row r="22" spans="1:10" ht="22.5">
      <c r="A22" s="59">
        <v>22</v>
      </c>
      <c r="B22" s="60"/>
      <c r="C22" s="61" t="s">
        <v>58</v>
      </c>
      <c r="D22" s="61" t="s">
        <v>59</v>
      </c>
      <c r="E22" s="62">
        <v>4</v>
      </c>
      <c r="F22" s="62">
        <v>69</v>
      </c>
      <c r="G22" s="71" t="s">
        <v>60</v>
      </c>
      <c r="H22" s="72">
        <v>0.28263888888888888</v>
      </c>
      <c r="I22" s="73" t="s">
        <v>99</v>
      </c>
      <c r="J22" s="70" t="s">
        <v>100</v>
      </c>
    </row>
    <row r="23" spans="1:10">
      <c r="A23" s="59">
        <v>23</v>
      </c>
      <c r="B23" s="60"/>
      <c r="C23" s="61" t="s">
        <v>58</v>
      </c>
      <c r="D23" s="61" t="s">
        <v>63</v>
      </c>
      <c r="E23" s="62">
        <v>4</v>
      </c>
      <c r="F23" s="62">
        <v>69</v>
      </c>
      <c r="G23" s="63"/>
      <c r="H23" s="74"/>
      <c r="I23" s="75"/>
      <c r="J23" s="76"/>
    </row>
    <row r="24" spans="1:10">
      <c r="A24" s="59">
        <v>24</v>
      </c>
      <c r="B24" s="60"/>
      <c r="C24" s="61" t="s">
        <v>58</v>
      </c>
      <c r="D24" s="61" t="s">
        <v>65</v>
      </c>
      <c r="E24" s="62">
        <v>4</v>
      </c>
      <c r="F24" s="62">
        <v>69</v>
      </c>
      <c r="G24" s="63"/>
      <c r="H24" s="74"/>
      <c r="I24" s="75"/>
      <c r="J24" s="76"/>
    </row>
    <row r="25" spans="1:10">
      <c r="A25" s="59">
        <v>25</v>
      </c>
      <c r="B25" s="78"/>
      <c r="C25" s="61" t="s">
        <v>58</v>
      </c>
      <c r="D25" s="61" t="s">
        <v>66</v>
      </c>
      <c r="E25" s="62">
        <v>4</v>
      </c>
      <c r="F25" s="62">
        <v>69</v>
      </c>
      <c r="G25" s="68"/>
      <c r="H25" s="56"/>
      <c r="I25" s="77"/>
      <c r="J25" s="76"/>
    </row>
    <row r="26" spans="1:10" ht="22.5">
      <c r="A26" s="59">
        <v>27</v>
      </c>
      <c r="B26" s="52">
        <v>2</v>
      </c>
      <c r="C26" s="61" t="s">
        <v>71</v>
      </c>
      <c r="D26" s="61" t="s">
        <v>72</v>
      </c>
      <c r="E26" s="62">
        <v>4</v>
      </c>
      <c r="F26" s="62">
        <v>8</v>
      </c>
      <c r="G26" s="55" t="s">
        <v>73</v>
      </c>
      <c r="H26" s="72">
        <v>0.25972222222222224</v>
      </c>
      <c r="I26" s="73" t="s">
        <v>101</v>
      </c>
      <c r="J26" s="70"/>
    </row>
    <row r="27" spans="1:10" ht="22.5">
      <c r="A27" s="59">
        <v>28</v>
      </c>
      <c r="B27" s="60"/>
      <c r="C27" s="61" t="s">
        <v>75</v>
      </c>
      <c r="D27" s="61" t="s">
        <v>72</v>
      </c>
      <c r="E27" s="62">
        <v>4</v>
      </c>
      <c r="F27" s="62">
        <v>47</v>
      </c>
      <c r="G27" s="63"/>
      <c r="H27" s="74"/>
      <c r="I27" s="75"/>
      <c r="J27" s="76"/>
    </row>
    <row r="28" spans="1:10" ht="22.5">
      <c r="A28" s="59">
        <v>29</v>
      </c>
      <c r="B28" s="78"/>
      <c r="C28" s="61" t="s">
        <v>76</v>
      </c>
      <c r="D28" s="61" t="s">
        <v>72</v>
      </c>
      <c r="E28" s="62">
        <v>4</v>
      </c>
      <c r="F28" s="62">
        <v>188</v>
      </c>
      <c r="G28" s="68"/>
      <c r="H28" s="56"/>
      <c r="I28" s="77"/>
      <c r="J28" s="76"/>
    </row>
    <row r="29" spans="1:10" ht="33.75">
      <c r="A29" s="59">
        <v>30</v>
      </c>
      <c r="B29" s="52">
        <v>3</v>
      </c>
      <c r="C29" s="61" t="s">
        <v>112</v>
      </c>
      <c r="D29" s="61" t="s">
        <v>72</v>
      </c>
      <c r="E29" s="62">
        <v>4</v>
      </c>
      <c r="F29" s="62">
        <v>8</v>
      </c>
      <c r="G29" s="71" t="s">
        <v>77</v>
      </c>
      <c r="H29" s="72">
        <v>0.25972222222222224</v>
      </c>
      <c r="I29" s="73" t="s">
        <v>102</v>
      </c>
      <c r="J29" s="70" t="s">
        <v>103</v>
      </c>
    </row>
    <row r="30" spans="1:10" ht="22.5">
      <c r="A30" s="59">
        <v>31</v>
      </c>
      <c r="B30" s="60"/>
      <c r="C30" s="61" t="s">
        <v>75</v>
      </c>
      <c r="D30" s="61" t="s">
        <v>72</v>
      </c>
      <c r="E30" s="62">
        <v>4</v>
      </c>
      <c r="F30" s="62">
        <v>47</v>
      </c>
      <c r="G30" s="63"/>
      <c r="H30" s="74"/>
      <c r="I30" s="75"/>
      <c r="J30" s="76"/>
    </row>
    <row r="31" spans="1:10" ht="22.5">
      <c r="A31" s="59">
        <v>32</v>
      </c>
      <c r="B31" s="78"/>
      <c r="C31" s="61" t="s">
        <v>76</v>
      </c>
      <c r="D31" s="61" t="s">
        <v>72</v>
      </c>
      <c r="E31" s="62">
        <v>4</v>
      </c>
      <c r="F31" s="62">
        <v>188</v>
      </c>
      <c r="G31" s="68"/>
      <c r="H31" s="56"/>
      <c r="I31" s="77"/>
      <c r="J31" s="76"/>
    </row>
    <row r="32" spans="1:10" ht="22.5">
      <c r="A32" s="59">
        <v>33</v>
      </c>
      <c r="B32" s="52">
        <v>4</v>
      </c>
      <c r="C32" s="61" t="s">
        <v>113</v>
      </c>
      <c r="D32" s="61" t="s">
        <v>72</v>
      </c>
      <c r="E32" s="62">
        <v>4</v>
      </c>
      <c r="F32" s="62">
        <v>8</v>
      </c>
      <c r="G32" s="55" t="s">
        <v>79</v>
      </c>
      <c r="H32" s="72">
        <v>0.25972222222222224</v>
      </c>
      <c r="I32" s="73" t="s">
        <v>104</v>
      </c>
      <c r="J32" s="79"/>
    </row>
    <row r="33" spans="1:13" ht="22.5">
      <c r="A33" s="59">
        <v>34</v>
      </c>
      <c r="B33" s="60"/>
      <c r="C33" s="61" t="s">
        <v>75</v>
      </c>
      <c r="D33" s="61" t="s">
        <v>72</v>
      </c>
      <c r="E33" s="62">
        <v>4</v>
      </c>
      <c r="F33" s="62">
        <v>47</v>
      </c>
      <c r="G33" s="63"/>
      <c r="H33" s="74"/>
      <c r="I33" s="75"/>
      <c r="J33" s="80"/>
    </row>
    <row r="34" spans="1:13" ht="22.5">
      <c r="A34" s="59">
        <v>35</v>
      </c>
      <c r="B34" s="78"/>
      <c r="C34" s="61" t="s">
        <v>76</v>
      </c>
      <c r="D34" s="61" t="s">
        <v>72</v>
      </c>
      <c r="E34" s="62">
        <v>4</v>
      </c>
      <c r="F34" s="62">
        <v>188</v>
      </c>
      <c r="G34" s="68"/>
      <c r="H34" s="56"/>
      <c r="I34" s="77"/>
      <c r="J34" s="81"/>
    </row>
    <row r="35" spans="1:13" ht="22.5">
      <c r="A35" s="59">
        <v>36</v>
      </c>
      <c r="B35" s="52">
        <v>5</v>
      </c>
      <c r="C35" s="61" t="s">
        <v>113</v>
      </c>
      <c r="D35" s="61" t="s">
        <v>72</v>
      </c>
      <c r="E35" s="62">
        <v>4</v>
      </c>
      <c r="F35" s="62">
        <v>8</v>
      </c>
      <c r="G35" s="55" t="s">
        <v>81</v>
      </c>
      <c r="H35" s="72">
        <v>0.25972222222222224</v>
      </c>
      <c r="I35" s="73" t="s">
        <v>105</v>
      </c>
      <c r="J35" s="79"/>
    </row>
    <row r="36" spans="1:13" ht="22.5">
      <c r="A36" s="59">
        <v>37</v>
      </c>
      <c r="B36" s="60"/>
      <c r="C36" s="61" t="s">
        <v>75</v>
      </c>
      <c r="D36" s="61" t="s">
        <v>72</v>
      </c>
      <c r="E36" s="62">
        <v>4</v>
      </c>
      <c r="F36" s="62">
        <v>47</v>
      </c>
      <c r="G36" s="63"/>
      <c r="H36" s="74"/>
      <c r="I36" s="75"/>
      <c r="J36" s="80"/>
    </row>
    <row r="37" spans="1:13" ht="22.5">
      <c r="A37" s="59">
        <v>38</v>
      </c>
      <c r="B37" s="78"/>
      <c r="C37" s="61" t="s">
        <v>76</v>
      </c>
      <c r="D37" s="61" t="s">
        <v>72</v>
      </c>
      <c r="E37" s="62">
        <v>4</v>
      </c>
      <c r="F37" s="62">
        <v>188</v>
      </c>
      <c r="G37" s="68"/>
      <c r="H37" s="56"/>
      <c r="I37" s="77"/>
      <c r="J37" s="81"/>
    </row>
    <row r="38" spans="1:13" ht="33.75">
      <c r="A38" s="59">
        <v>39</v>
      </c>
      <c r="B38" s="82">
        <v>5</v>
      </c>
      <c r="C38" s="61" t="s">
        <v>83</v>
      </c>
      <c r="D38" s="61" t="s">
        <v>29</v>
      </c>
      <c r="E38" s="62">
        <v>4</v>
      </c>
      <c r="F38" s="62">
        <v>60</v>
      </c>
      <c r="G38" s="71" t="s">
        <v>106</v>
      </c>
      <c r="H38" s="72">
        <v>0.14374999999999999</v>
      </c>
      <c r="I38" s="73" t="s">
        <v>111</v>
      </c>
      <c r="J38" s="58" t="s">
        <v>107</v>
      </c>
    </row>
    <row r="39" spans="1:13" ht="33.75">
      <c r="A39" s="59">
        <v>40</v>
      </c>
      <c r="B39" s="83">
        <v>5</v>
      </c>
      <c r="C39" s="61" t="s">
        <v>83</v>
      </c>
      <c r="D39" s="61" t="s">
        <v>29</v>
      </c>
      <c r="E39" s="62">
        <v>8</v>
      </c>
      <c r="F39" s="62">
        <v>30</v>
      </c>
      <c r="G39" s="68"/>
      <c r="H39" s="56"/>
      <c r="I39" s="77"/>
      <c r="J39" s="67"/>
      <c r="K39" s="84"/>
      <c r="L39" s="84"/>
      <c r="M39" s="84"/>
    </row>
    <row r="40" spans="1:13" ht="78.75">
      <c r="A40" s="85">
        <v>41</v>
      </c>
      <c r="B40" s="86">
        <v>1</v>
      </c>
      <c r="C40" s="87" t="s">
        <v>67</v>
      </c>
      <c r="D40" s="88" t="s">
        <v>68</v>
      </c>
      <c r="E40" s="89">
        <v>8</v>
      </c>
      <c r="F40" s="89">
        <v>188</v>
      </c>
      <c r="G40" s="90" t="s">
        <v>108</v>
      </c>
      <c r="H40" s="91"/>
      <c r="I40" s="91"/>
      <c r="J40" s="92" t="s">
        <v>109</v>
      </c>
      <c r="K40" s="84"/>
      <c r="L40" s="84"/>
      <c r="M40" s="84"/>
    </row>
    <row r="41" spans="1:13">
      <c r="A41" s="93">
        <v>42</v>
      </c>
      <c r="B41" s="94"/>
      <c r="C41" s="94" t="s">
        <v>110</v>
      </c>
      <c r="D41" s="94"/>
      <c r="E41" s="94"/>
      <c r="F41" s="95"/>
      <c r="G41" s="96" t="s">
        <v>108</v>
      </c>
      <c r="H41" s="97"/>
      <c r="I41" s="97"/>
      <c r="J41" s="97"/>
    </row>
    <row r="42" spans="1:13">
      <c r="A42" s="98"/>
      <c r="B42" s="98"/>
      <c r="C42" s="98"/>
      <c r="D42" s="98"/>
      <c r="E42" s="98"/>
      <c r="F42" s="99"/>
    </row>
    <row r="43" spans="1:13">
      <c r="A43" s="98"/>
      <c r="B43" s="98"/>
      <c r="C43" s="100"/>
      <c r="D43" s="98"/>
      <c r="E43" s="98"/>
      <c r="F43" s="98"/>
    </row>
    <row r="44" spans="1:13">
      <c r="A44" s="98"/>
      <c r="B44" s="98"/>
      <c r="C44" s="98"/>
      <c r="D44" s="98"/>
      <c r="E44" s="98"/>
      <c r="F44" s="98"/>
    </row>
    <row r="45" spans="1:13">
      <c r="A45" s="98"/>
      <c r="B45" s="98"/>
      <c r="C45" s="98"/>
      <c r="D45" s="98"/>
      <c r="E45" s="98"/>
      <c r="F45" s="98"/>
    </row>
    <row r="46" spans="1:13">
      <c r="A46" s="98"/>
      <c r="B46" s="98"/>
      <c r="C46" s="98"/>
      <c r="D46" s="98"/>
      <c r="E46" s="98"/>
      <c r="F46" s="98"/>
    </row>
    <row r="47" spans="1:13">
      <c r="A47" s="98"/>
      <c r="B47" s="98"/>
      <c r="C47" s="98"/>
      <c r="D47" s="98"/>
      <c r="E47" s="98"/>
      <c r="F47" s="98"/>
    </row>
    <row r="48" spans="1:13">
      <c r="A48" s="98"/>
      <c r="B48" s="98"/>
      <c r="C48" s="98"/>
      <c r="D48" s="98"/>
      <c r="E48" s="98"/>
      <c r="F48" s="98"/>
    </row>
    <row r="49" spans="1:6">
      <c r="A49" s="98"/>
      <c r="B49" s="98"/>
      <c r="C49" s="98"/>
      <c r="D49" s="98"/>
      <c r="E49" s="98"/>
      <c r="F49" s="98"/>
    </row>
    <row r="50" spans="1:6">
      <c r="A50" s="98"/>
      <c r="B50" s="98"/>
      <c r="C50" s="98"/>
      <c r="D50" s="98"/>
      <c r="E50" s="98"/>
      <c r="F50" s="98"/>
    </row>
    <row r="51" spans="1:6">
      <c r="A51" s="98"/>
      <c r="B51" s="98"/>
      <c r="C51" s="98"/>
      <c r="D51" s="98"/>
      <c r="E51" s="98"/>
      <c r="F51" s="98"/>
    </row>
    <row r="52" spans="1:6">
      <c r="A52" s="98"/>
      <c r="B52" s="98"/>
      <c r="C52" s="98"/>
      <c r="D52" s="98"/>
      <c r="E52" s="98"/>
      <c r="F52" s="98"/>
    </row>
    <row r="53" spans="1:6">
      <c r="A53" s="98"/>
      <c r="B53" s="98"/>
      <c r="C53" s="98"/>
      <c r="D53" s="98"/>
      <c r="E53" s="98"/>
      <c r="F53" s="98"/>
    </row>
    <row r="54" spans="1:6">
      <c r="A54" s="98"/>
      <c r="B54" s="98"/>
      <c r="C54" s="98"/>
      <c r="D54" s="98"/>
      <c r="E54" s="98"/>
      <c r="F54" s="98"/>
    </row>
    <row r="55" spans="1:6">
      <c r="A55" s="98"/>
      <c r="B55" s="98"/>
      <c r="C55" s="98"/>
      <c r="D55" s="98"/>
      <c r="E55" s="98"/>
      <c r="F55" s="98"/>
    </row>
    <row r="56" spans="1:6">
      <c r="A56" s="98"/>
      <c r="B56" s="98"/>
      <c r="C56" s="98"/>
      <c r="D56" s="98"/>
      <c r="E56" s="98"/>
      <c r="F56" s="98"/>
    </row>
    <row r="57" spans="1:6">
      <c r="A57" s="98"/>
      <c r="B57" s="98"/>
      <c r="C57" s="98"/>
      <c r="D57" s="98"/>
      <c r="E57" s="98"/>
      <c r="F57" s="98"/>
    </row>
    <row r="58" spans="1:6">
      <c r="A58" s="98"/>
      <c r="B58" s="98"/>
      <c r="C58" s="98"/>
      <c r="D58" s="98"/>
      <c r="E58" s="98"/>
      <c r="F58" s="98"/>
    </row>
    <row r="59" spans="1:6">
      <c r="A59" s="98"/>
      <c r="B59" s="98"/>
      <c r="C59" s="98"/>
      <c r="D59" s="98"/>
      <c r="E59" s="98"/>
      <c r="F59" s="98"/>
    </row>
    <row r="60" spans="1:6">
      <c r="A60" s="98"/>
      <c r="B60" s="98"/>
      <c r="C60" s="98"/>
      <c r="D60" s="98"/>
      <c r="E60" s="98"/>
      <c r="F60" s="98"/>
    </row>
    <row r="61" spans="1:6">
      <c r="A61" s="98"/>
      <c r="B61" s="98"/>
      <c r="C61" s="98"/>
      <c r="D61" s="98"/>
      <c r="E61" s="98"/>
      <c r="F61" s="98"/>
    </row>
    <row r="62" spans="1:6">
      <c r="A62" s="98"/>
      <c r="B62" s="98"/>
      <c r="C62" s="98"/>
      <c r="D62" s="98"/>
      <c r="E62" s="98"/>
      <c r="F62" s="98"/>
    </row>
    <row r="63" spans="1:6">
      <c r="A63" s="98"/>
      <c r="B63" s="98"/>
      <c r="C63" s="98"/>
      <c r="D63" s="98"/>
      <c r="E63" s="98"/>
      <c r="F63" s="98"/>
    </row>
    <row r="64" spans="1:6">
      <c r="A64" s="98"/>
      <c r="B64" s="98"/>
      <c r="C64" s="98"/>
      <c r="D64" s="98"/>
      <c r="E64" s="98"/>
      <c r="F64" s="98"/>
    </row>
    <row r="65" spans="1:6">
      <c r="A65" s="98"/>
      <c r="B65" s="98"/>
      <c r="C65" s="98"/>
      <c r="D65" s="98"/>
      <c r="E65" s="98"/>
      <c r="F65" s="98"/>
    </row>
    <row r="66" spans="1:6">
      <c r="A66" s="98"/>
      <c r="B66" s="98"/>
      <c r="C66" s="98"/>
      <c r="D66" s="98"/>
      <c r="E66" s="98"/>
      <c r="F66" s="98"/>
    </row>
    <row r="67" spans="1:6">
      <c r="A67" s="98"/>
      <c r="B67" s="98"/>
      <c r="C67" s="98"/>
      <c r="D67" s="98"/>
      <c r="E67" s="98"/>
      <c r="F67" s="98"/>
    </row>
    <row r="68" spans="1:6">
      <c r="A68" s="98"/>
      <c r="B68" s="98"/>
      <c r="C68" s="98"/>
      <c r="D68" s="98"/>
      <c r="E68" s="98"/>
      <c r="F68" s="98"/>
    </row>
  </sheetData>
  <mergeCells count="42">
    <mergeCell ref="I8:I13"/>
    <mergeCell ref="I3:I7"/>
    <mergeCell ref="J38:J39"/>
    <mergeCell ref="J35:J37"/>
    <mergeCell ref="J32:J34"/>
    <mergeCell ref="J3:J6"/>
    <mergeCell ref="I26:I28"/>
    <mergeCell ref="I22:I25"/>
    <mergeCell ref="I18:I21"/>
    <mergeCell ref="I16:I17"/>
    <mergeCell ref="I14:I15"/>
    <mergeCell ref="H8:H13"/>
    <mergeCell ref="H3:H7"/>
    <mergeCell ref="H14:H15"/>
    <mergeCell ref="H18:H21"/>
    <mergeCell ref="H16:H17"/>
    <mergeCell ref="H38:H39"/>
    <mergeCell ref="H35:H37"/>
    <mergeCell ref="H32:H34"/>
    <mergeCell ref="H29:H31"/>
    <mergeCell ref="H26:H28"/>
    <mergeCell ref="H22:H25"/>
    <mergeCell ref="I38:I39"/>
    <mergeCell ref="I35:I37"/>
    <mergeCell ref="I32:I34"/>
    <mergeCell ref="I29:I31"/>
    <mergeCell ref="B32:B34"/>
    <mergeCell ref="G32:G34"/>
    <mergeCell ref="B35:B37"/>
    <mergeCell ref="G35:G37"/>
    <mergeCell ref="B3:B25"/>
    <mergeCell ref="G3:G7"/>
    <mergeCell ref="G8:G13"/>
    <mergeCell ref="G14:G15"/>
    <mergeCell ref="G16:G17"/>
    <mergeCell ref="B26:B28"/>
    <mergeCell ref="B29:B31"/>
    <mergeCell ref="G22:G25"/>
    <mergeCell ref="G26:G28"/>
    <mergeCell ref="G18:G21"/>
    <mergeCell ref="G29:G31"/>
    <mergeCell ref="G38:G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Terv</vt:lpstr>
      <vt:lpstr>Megvalósult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János Volk</cp:lastModifiedBy>
  <dcterms:modified xsi:type="dcterms:W3CDTF">2025-10-21T15:02:26Z</dcterms:modified>
</cp:coreProperties>
</file>